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7 AgeUp Games\Evidencia Grupal\"/>
    </mc:Choice>
  </mc:AlternateContent>
  <xr:revisionPtr revIDLastSave="0" documentId="13_ncr:1_{136723BD-D453-43EB-BA27-8D2756D375BD}"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F14" i="1"/>
  <c r="G14" i="1" s="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E22" i="1"/>
  <c r="F20" i="1"/>
  <c r="G20" i="1" s="1"/>
  <c r="G21" i="1"/>
  <c r="C57" i="1" l="1"/>
  <c r="C46" i="1"/>
  <c r="E21" i="1"/>
  <c r="H21" i="1"/>
  <c r="I21" i="1" s="1"/>
  <c r="J21" i="1"/>
  <c r="K21" i="1" s="1"/>
  <c r="G22" i="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<sst xmlns="http://schemas.openxmlformats.org/spreadsheetml/2006/main" count="166" uniqueCount="100">
  <si>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</si>
  <si>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</si>
  <si>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</si>
  <si>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</si>
  <si>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</si>
  <si>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</si>
  <si>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</si>
  <si>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</si>
  <si>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</si>
  <si>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</si>
  <si>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</si>
  <si>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</si>
  <si>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</si>
  <si>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</si>
  <si>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</si>
  <si>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</si>
  <si>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</si>
  <si>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</si>
  <si>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</si>
  <si>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</si>
  <si>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</si>
  <si>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</si>
  <si>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</si>
  <si>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</si>
  <si>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</si>
  <si>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</si>
  <si>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</si>
  <si>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</si>
  <si>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</si>
  <si>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</si>
  <si>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</si>
  <si>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</si>
  <si>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</si>
  <si>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</si>
  <si>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</si>
  <si>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</si>
  <si>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</si>
  <si>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</si>
  <si>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</si>
  <si>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</si>
  <si>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</si>
  <si>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</si>
  <si>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</si>
  <si>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</si>
  <si>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</si>
  <si>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</si>
  <si>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</si>
  <si>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</si>
  <si>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</si>
  <si>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</si>
  <si>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</si>
  <si>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</si>
  <si>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</si>
  <si>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</si>
  <si>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</si>
  <si>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</si>
  <si>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</si>
  <si>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</si>
  <si>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</si>
  <si>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</si>
  <si>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</si>
  <si>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</si>
  <si>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</si>
  <si>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</si>
  <si>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</si>
  <si>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</si>
  <si>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</si>
  <si>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</si>
  <si>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</si>
  <si>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</si>
  <si>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</si>
  <si>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</si>
  <si>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</si>
  <si>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</si>
  <si>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</si>
  <si>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</si>
  <si>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</si>
  <si>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</si>
  <si>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</si>
  <si>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</si>
  <si>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</si>
  <si>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</si>
  <si>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</si>
  <si>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</si>
  <si>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</si>
  <si>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</si>
  <si>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</si>
  <si>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</si>
  <si>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</si>
  <si>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</si>
  <si>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</si>
  <si>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</si>
  <si>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</si>
  <si>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</si>
  <si>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</si>
  <si>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</si>
  <si>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Sofia Cartagena</t>
  </si>
  <si>
    <t>Alen Rodriguez</t>
  </si>
  <si>
    <t>Esteban Rodriguez</t>
  </si>
  <si>
    <t>AgeUp Games: test de guncion cognitiva, Analisis de datos con IA para dterminal la función cognitiva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</si>
</sst>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D22" sqref="D2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5.3</v>
      </c>
      <c r="D4" s="6">
        <f>$C$35</f>
        <v>6</v>
      </c>
      <c r="E4" s="43">
        <f>C4*C$2+D4*D$2</f>
        <v>5.4749999999999996</v>
      </c>
      <c r="G4" s="1"/>
    </row>
    <row r="5" spans="1:11" x14ac:dyDescent="0.25">
      <c r="A5" s="5">
        <v>2</v>
      </c>
      <c r="B5" s="32" t="s">
        <v>97</v>
      </c>
      <c r="C5" s="6">
        <f>EVALUACION1!$C$24</f>
        <v>5.3</v>
      </c>
      <c r="D5" s="6">
        <f>C47</f>
        <v>6</v>
      </c>
      <c r="E5" s="43">
        <f t="shared" ref="E5:E6" si="0">C5*C$2+D5*D$2</f>
        <v>5.4749999999999996</v>
      </c>
      <c r="G5" s="1"/>
    </row>
    <row r="6" spans="1:11" x14ac:dyDescent="0.25">
      <c r="A6" s="5">
        <v>3</v>
      </c>
      <c r="B6" s="32" t="s">
        <v>98</v>
      </c>
      <c r="C6" s="6">
        <f>EVALUACION1!$C$24</f>
        <v>5.3</v>
      </c>
      <c r="D6" s="6">
        <f>C58</f>
        <v>6</v>
      </c>
      <c r="E6" s="43">
        <f t="shared" si="0"/>
        <v>5.4749999999999996</v>
      </c>
      <c r="G6" s="1"/>
    </row>
    <row r="8" spans="1:11" ht="15" customHeight="1" x14ac:dyDescent="0.25">
      <c r="B8" s="49" t="s">
        <v>99</v>
      </c>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tr">
        <f t="shared" si="2"/>
        <v/>
      </c>
      <c r="G14" s="16" t="str">
        <f t="shared" ref="G14" si="7">IF(F14="X",60*0.05,"")</f>
        <v/>
      </c>
      <c r="H14" s="16" t="s">
        <v>95</v>
      </c>
      <c r="I14" s="16">
        <f t="shared" ref="I14" si="8">IF(H14="X",30*0.05,"")</f>
        <v>1.5</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0" si="12">IF($C17=CL,"X","")</f>
        <v>X</v>
      </c>
      <c r="E17" s="16">
        <f t="shared" ref="E17" si="13">IF(D17="X",100*0.1,"")</f>
        <v>10</v>
      </c>
      <c r="F17" s="16" t="str">
        <f t="shared" ref="F17:F20"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c r="E21" s="16" t="str">
        <f t="shared" si="9"/>
        <v/>
      </c>
      <c r="F21" s="16" t="s">
        <v>95</v>
      </c>
      <c r="G21" s="16">
        <f t="shared" si="10"/>
        <v>3</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c r="E22" s="16" t="str">
        <f>IF(D22="X",100*0.1,"")</f>
        <v/>
      </c>
      <c r="F22" s="16" t="s">
        <v>95</v>
      </c>
      <c r="G22" s="16">
        <f>IF(F22="X",60*0.1,"")</f>
        <v>6</v>
      </c>
      <c r="H22" s="16" t="str">
        <f t="shared" si="16"/>
        <v/>
      </c>
      <c r="I22" s="16" t="str">
        <f>IF(H22="X",30*0.1,"")</f>
        <v/>
      </c>
      <c r="J22" s="16" t="str">
        <f t="shared" si="18"/>
        <v/>
      </c>
      <c r="K22" s="16" t="str">
        <f t="shared" si="19"/>
        <v/>
      </c>
    </row>
    <row r="23" spans="1:11" ht="15.75" customHeight="1" outlineLevel="1" x14ac:dyDescent="0.3">
      <c r="A23" s="63"/>
      <c r="B23" s="34" t="s">
        <v>11</v>
      </c>
      <c r="C23" s="37">
        <f>E23+G23+I23+K23</f>
        <v>54.5</v>
      </c>
      <c r="D23" s="19"/>
      <c r="E23" s="19">
        <f>SUM(E13:E22)</f>
        <v>35</v>
      </c>
      <c r="F23" s="19"/>
      <c r="G23" s="19">
        <f>SUM(G13:G22)</f>
        <v>18</v>
      </c>
      <c r="H23" s="19"/>
      <c r="I23" s="19">
        <f>SUM(I13:I22)</f>
        <v>1.5</v>
      </c>
      <c r="J23" s="19"/>
      <c r="K23" s="19">
        <f>SUM(K13:K22)</f>
        <v>0</v>
      </c>
    </row>
    <row r="24" spans="1:11" ht="15.75" customHeight="1" outlineLevel="1" x14ac:dyDescent="0.3">
      <c r="A24" s="51"/>
      <c r="B24" s="36" t="s">
        <v>12</v>
      </c>
      <c r="C24" s="20">
        <f>VLOOKUP(C23,ESCALA_IEP!A2:B142,2,FALSE)</f>
        <v>5.3</v>
      </c>
    </row>
    <row r="25" spans="1:11" ht="15.75" customHeight="1" x14ac:dyDescent="0.25"/>
    <row r="26" spans="1:11" ht="15.75" customHeight="1" x14ac:dyDescent="0.25"/>
    <row r="27" spans="1:11" ht="15.75" customHeight="1" x14ac:dyDescent="0.25">
      <c r="A27" s="62" t="s">
        <v>13</v>
      </c>
      <c r="B27" s="50" t="s">
        <v>14</v>
      </c>
      <c r="C27" s="52" t="str">
        <f>$B$4</f>
        <v>Sofia Cartagena</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c r="E31" s="16" t="str">
        <f>IF(D31="X",100*0.1,"")</f>
        <v/>
      </c>
      <c r="F31" s="16" t="s">
        <v>95</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Alen Rodriguez</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c r="E43" s="16" t="str">
        <f>IF(D43="X",100*0.1,"")</f>
        <v/>
      </c>
      <c r="F43" s="16" t="s">
        <v>95</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3"/>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3"/>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3"/>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2" t="s">
        <v>13</v>
      </c>
      <c r="B50" s="50" t="s">
        <v>14</v>
      </c>
      <c r="C50" s="52" t="str">
        <f>B6</f>
        <v>Esteban Rodriguez</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c r="E54" s="16" t="str">
        <f>IF(D54="X",100*0.1,"")</f>
        <v/>
      </c>
      <c r="F54" s="16" t="s">
        <v>95</v>
      </c>
      <c r="G54" s="16">
        <f>IF(F54="X",60*0.1,"")</f>
        <v>6</v>
      </c>
      <c r="H54" s="16" t="str">
        <f t="shared" ref="H54:H55" si="39">IF($C54=ML,"X","")</f>
        <v/>
      </c>
      <c r="I54" s="16" t="str">
        <f>IF(H54="X",30*0.1,"")</f>
        <v/>
      </c>
      <c r="J54" s="16" t="str">
        <f t="shared" ref="J54:J55" si="40">IF($C54=NL,"X","")</f>
        <v/>
      </c>
      <c r="K54" s="16" t="str">
        <f t="shared" ref="K54:K55" si="41">IF($J54="X",0,"")</f>
        <v/>
      </c>
    </row>
    <row r="55" spans="1:11" ht="24" x14ac:dyDescent="0.25">
      <c r="A55" s="63"/>
      <c r="B55" s="35" t="str">
        <f>RUBRICA!A15</f>
        <v>11. Expone el tema utilizando un lenguaje técnico disciplinar al presentar la propuesta y responde evidenciando un manejo de la información. *</v>
      </c>
      <c r="C55" s="33" t="s">
        <v>7</v>
      </c>
      <c r="D55" s="16" t="str">
        <f t="shared" ref="D55" si="42">IF($C55=CL,"X","")</f>
        <v>X</v>
      </c>
      <c r="E55" s="16">
        <f>IF(D55="X",100*0.1,"")</f>
        <v>10</v>
      </c>
      <c r="F55" s="16" t="str">
        <f t="shared" ref="F55" si="43">IF($C55=L,"X","")</f>
        <v/>
      </c>
      <c r="G55" s="16" t="str">
        <f>IF(F55="X",60*0.1,"")</f>
        <v/>
      </c>
      <c r="H55" s="16" t="str">
        <f t="shared" si="39"/>
        <v/>
      </c>
      <c r="I55" s="16" t="str">
        <f>IF(H55="X",30*0.1,"")</f>
        <v/>
      </c>
      <c r="J55" s="16" t="str">
        <f t="shared" si="40"/>
        <v/>
      </c>
      <c r="K55" s="16" t="str">
        <f t="shared" si="41"/>
        <v/>
      </c>
    </row>
    <row r="56" spans="1:11" ht="15.75" customHeight="1" x14ac:dyDescent="0.25">
      <c r="A56" s="63"/>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3"/>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2025-09-27T01:37:35Z</dcterms:modified>
  <cp:category/>
  <cp:contentStatus/>
</cp:coreProperties>
</file>